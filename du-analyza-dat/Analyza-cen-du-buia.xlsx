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y_2015_100" sheetId="1" r:id="rId5"/>
    <sheet state="visible" name="Mezirocni-zmeny" sheetId="2" r:id="rId6"/>
  </sheets>
  <definedNames/>
  <calcPr/>
</workbook>
</file>

<file path=xl/sharedStrings.xml><?xml version="1.0" encoding="utf-8"?>
<sst xmlns="http://schemas.openxmlformats.org/spreadsheetml/2006/main" count="37" uniqueCount="22">
  <si>
    <t>Roky</t>
  </si>
  <si>
    <t>Alkoholické nápoje, tabák</t>
  </si>
  <si>
    <t>Bydlení, voda, energie, paliva</t>
  </si>
  <si>
    <t>Doprava</t>
  </si>
  <si>
    <t>Informace a telekomunikace</t>
  </si>
  <si>
    <t>Odívání a obuv</t>
  </si>
  <si>
    <t>Osobní a sociální péče, různé zboží a služby</t>
  </si>
  <si>
    <t>Pojištění a finanční služby</t>
  </si>
  <si>
    <t>Potraviny a nealkoholické nápoje</t>
  </si>
  <si>
    <t>Rekreace, sport a kultura</t>
  </si>
  <si>
    <t>Stravovací a ubytovací služby</t>
  </si>
  <si>
    <t>Vybavení, zařízení a služby pro domácnost</t>
  </si>
  <si>
    <t>Vzdělávání</t>
  </si>
  <si>
    <t>Zdraví</t>
  </si>
  <si>
    <t>Úhrn</t>
  </si>
  <si>
    <t>Růst 2015–2025</t>
  </si>
  <si>
    <t>Predikce 2025 (Potraviny):</t>
  </si>
  <si>
    <t>Nejrychlejší růst od roku 2015
Nejvíce zdražily Stravovací a ubytovací služby (+98,0 %, cena se téměř zdvojnásobila). Druhé nejvyšší bylo Bydlení a energie (+71,2 %).
Příběh dat (graf)
• Doprava: Do roku 2020 stála na místě. V roce 2022 kvůli cenám paliv prudce vystřelila (+17,8 %), ale poté se uklidnila a dál už nerostla.
• Potraviny: Skokově zdražily v letech 2022 a 2023. V roce 2024 dokonce mírně zlevnily a v roce 2025 zakončily s celkovým nárůstem o 51,5 %.
• Restaurace a hotely: Rostly nejrychleji a bez jakéhokoliv zlevnění. Zdražení energií a surovin se natrvalo promítlo do cen jídel a služeb.
Podobný vývoj kategorií
Téměř totožně se v čase vyvíjelo Bydlení a Osobní péče (shoda přes 99 %). Obě oblasti reagovaly se stejným zpožděním na celkové zdražování.
Jednoduchá predikce (Potraviny)
• Odhad pro rok 2025: 148,3 bodu
• Skutečnost v roce 2025: 151,5 bodu
• Porovnání: Model trendu byl o 2,1 % nižší než realita, protože nepočítal s tak velkým cenovým skokem z let 2022–2023.
• Odhad pro rok 2026: 154,0 bodu</t>
  </si>
  <si>
    <t>Predikce 2026 (Potraviny):</t>
  </si>
  <si>
    <t>Reál 2025:</t>
  </si>
  <si>
    <t>Odchylka modelu:</t>
  </si>
  <si>
    <t>Korelace (Bydlení vs. Osobní péče):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</si>
</sst>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 readingOrder="0" shrinkToFit="0" vertical="top" wrapText="1"/>
    </xf>
    <xf borderId="0" fillId="0" fontId="4" numFmtId="0" xfId="0" applyFont="1"/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Vývoj indexu spotřebitelských cen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Indexy_2015_100!$D$1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Indexy_2015_100!$A$2:$A$12</c:f>
            </c:strRef>
          </c:cat>
          <c:val>
            <c:numRef>
              <c:f>Indexy_2015_100!$D$2:$D$12</c:f>
              <c:numCache/>
            </c:numRef>
          </c:val>
          <c:smooth val="0"/>
        </c:ser>
        <c:ser>
          <c:idx val="1"/>
          <c:order val="1"/>
          <c:tx>
            <c:strRef>
              <c:f>Indexy_2015_100!$I$1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Indexy_2015_100!$A$2:$A$12</c:f>
            </c:strRef>
          </c:cat>
          <c:val>
            <c:numRef>
              <c:f>Indexy_2015_100!$I$2:$I$12</c:f>
              <c:numCache/>
            </c:numRef>
          </c:val>
          <c:smooth val="0"/>
        </c:ser>
        <c:ser>
          <c:idx val="2"/>
          <c:order val="2"/>
          <c:tx>
            <c:strRef>
              <c:f>Indexy_2015_100!$K$1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Indexy_2015_100!$A$2:$A$12</c:f>
            </c:strRef>
          </c:cat>
          <c:val>
            <c:numRef>
              <c:f>Indexy_2015_100!$K$2:$K$12</c:f>
              <c:numCache/>
            </c:numRef>
          </c:val>
          <c:smooth val="0"/>
        </c:ser>
        <c:axId val="888105916"/>
        <c:axId val="1720690369"/>
      </c:lineChart>
      <c:catAx>
        <c:axId val="888105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90369"/>
      </c:catAx>
      <c:valAx>
        <c:axId val="1720690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105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15</xdr:row>
      <xdr:rowOff>95250</xdr:rowOff>
    </xdr:from>
    <xdr:ext cx="5715000" cy="353377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0.86"/>
    <col customWidth="1" min="3" max="3" width="47.29"/>
    <col customWidth="1" min="4" max="4" width="20.43"/>
    <col customWidth="1" min="5" max="5" width="31.71"/>
    <col customWidth="1" min="6" max="6" width="22.71"/>
    <col customWidth="1" min="7" max="7" width="47.0"/>
    <col customWidth="1" min="8" max="8" width="45.71"/>
    <col customWidth="1" min="9" max="9" width="34.29"/>
    <col customWidth="1" min="10" max="10" width="33.71"/>
    <col customWidth="1" min="11" max="11" width="31.86"/>
    <col customWidth="1" min="12" max="12" width="42.43"/>
    <col customWidth="1" min="13" max="13" width="36.14"/>
    <col customWidth="1" min="14" max="14" width="30.71"/>
    <col customWidth="1" min="15" max="15" width="31.86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>
        <v>2015.0</v>
      </c>
      <c r="B2" s="4">
        <v>100.0</v>
      </c>
      <c r="C2" s="4">
        <v>100.0</v>
      </c>
      <c r="D2" s="4">
        <v>100.0</v>
      </c>
      <c r="E2" s="4">
        <v>100.0</v>
      </c>
      <c r="F2" s="4">
        <v>100.0</v>
      </c>
      <c r="G2" s="4">
        <v>100.0</v>
      </c>
      <c r="H2" s="4">
        <v>100.0</v>
      </c>
      <c r="I2" s="4">
        <v>100.0</v>
      </c>
      <c r="J2" s="4">
        <v>100.0</v>
      </c>
      <c r="K2" s="4">
        <v>100.0</v>
      </c>
      <c r="L2" s="4">
        <v>100.0</v>
      </c>
      <c r="M2" s="4">
        <v>100.0</v>
      </c>
      <c r="N2" s="4">
        <v>100.0</v>
      </c>
      <c r="O2" s="4">
        <v>100.0</v>
      </c>
    </row>
    <row r="3">
      <c r="A3" s="4">
        <v>2016.0</v>
      </c>
      <c r="B3" s="4">
        <v>104.4</v>
      </c>
      <c r="C3" s="4">
        <v>100.5</v>
      </c>
      <c r="D3" s="4">
        <v>98.4</v>
      </c>
      <c r="E3" s="4">
        <v>99.0</v>
      </c>
      <c r="F3" s="4">
        <v>101.9</v>
      </c>
      <c r="G3" s="4">
        <v>100.8</v>
      </c>
      <c r="H3" s="4">
        <v>101.8</v>
      </c>
      <c r="I3" s="4">
        <v>99.1</v>
      </c>
      <c r="J3" s="4">
        <v>102.5</v>
      </c>
      <c r="K3" s="4">
        <v>101.6</v>
      </c>
      <c r="L3" s="4">
        <v>99.7</v>
      </c>
      <c r="M3" s="4">
        <v>101.3</v>
      </c>
      <c r="N3" s="4">
        <v>102.6</v>
      </c>
      <c r="O3" s="4">
        <v>100.6</v>
      </c>
    </row>
    <row r="4">
      <c r="A4" s="4">
        <v>2017.0</v>
      </c>
      <c r="B4" s="4">
        <v>106.1</v>
      </c>
      <c r="C4" s="4">
        <v>102.2</v>
      </c>
      <c r="D4" s="4">
        <v>102.0</v>
      </c>
      <c r="E4" s="4">
        <v>97.3</v>
      </c>
      <c r="F4" s="4">
        <v>102.2</v>
      </c>
      <c r="G4" s="4">
        <v>102.8</v>
      </c>
      <c r="H4" s="4">
        <v>101.0</v>
      </c>
      <c r="I4" s="4">
        <v>104.1</v>
      </c>
      <c r="J4" s="4">
        <v>104.8</v>
      </c>
      <c r="K4" s="4">
        <v>107.3</v>
      </c>
      <c r="L4" s="4">
        <v>99.6</v>
      </c>
      <c r="M4" s="4">
        <v>103.3</v>
      </c>
      <c r="N4" s="4">
        <v>106.4</v>
      </c>
      <c r="O4" s="4">
        <v>103.1</v>
      </c>
    </row>
    <row r="5">
      <c r="A5" s="4">
        <v>2018.0</v>
      </c>
      <c r="B5" s="4">
        <v>109.4</v>
      </c>
      <c r="C5" s="4">
        <v>105.1</v>
      </c>
      <c r="D5" s="4">
        <v>104.8</v>
      </c>
      <c r="E5" s="4">
        <v>94.7</v>
      </c>
      <c r="F5" s="4">
        <v>101.0</v>
      </c>
      <c r="G5" s="4">
        <v>105.9</v>
      </c>
      <c r="H5" s="4">
        <v>103.5</v>
      </c>
      <c r="I5" s="4">
        <v>105.5</v>
      </c>
      <c r="J5" s="4">
        <v>107.6</v>
      </c>
      <c r="K5" s="4">
        <v>111.1</v>
      </c>
      <c r="L5" s="4">
        <v>101.1</v>
      </c>
      <c r="M5" s="4">
        <v>105.1</v>
      </c>
      <c r="N5" s="4">
        <v>110.4</v>
      </c>
      <c r="O5" s="4">
        <v>105.3</v>
      </c>
    </row>
    <row r="6">
      <c r="A6" s="4">
        <v>2019.0</v>
      </c>
      <c r="B6" s="4">
        <v>111.8</v>
      </c>
      <c r="C6" s="4">
        <v>110.8</v>
      </c>
      <c r="D6" s="4">
        <v>105.4</v>
      </c>
      <c r="E6" s="4">
        <v>92.1</v>
      </c>
      <c r="F6" s="4">
        <v>99.9</v>
      </c>
      <c r="G6" s="4">
        <v>109.6</v>
      </c>
      <c r="H6" s="4">
        <v>108.6</v>
      </c>
      <c r="I6" s="4">
        <v>108.5</v>
      </c>
      <c r="J6" s="4">
        <v>111.1</v>
      </c>
      <c r="K6" s="4">
        <v>115.8</v>
      </c>
      <c r="L6" s="4">
        <v>102.7</v>
      </c>
      <c r="M6" s="4">
        <v>107.9</v>
      </c>
      <c r="N6" s="4">
        <v>113.8</v>
      </c>
      <c r="O6" s="4">
        <v>108.2</v>
      </c>
    </row>
    <row r="7">
      <c r="A7" s="4">
        <v>2020.0</v>
      </c>
      <c r="B7" s="4">
        <v>120.2</v>
      </c>
      <c r="C7" s="4">
        <v>114.0</v>
      </c>
      <c r="D7" s="4">
        <v>105.0</v>
      </c>
      <c r="E7" s="4">
        <v>89.4</v>
      </c>
      <c r="F7" s="4">
        <v>103.5</v>
      </c>
      <c r="G7" s="4">
        <v>113.7</v>
      </c>
      <c r="H7" s="4">
        <v>111.7</v>
      </c>
      <c r="I7" s="4">
        <v>113.5</v>
      </c>
      <c r="J7" s="4">
        <v>115.2</v>
      </c>
      <c r="K7" s="4">
        <v>121.6</v>
      </c>
      <c r="L7" s="4">
        <v>105.7</v>
      </c>
      <c r="M7" s="4">
        <v>112.0</v>
      </c>
      <c r="N7" s="4">
        <v>116.6</v>
      </c>
      <c r="O7" s="4">
        <v>111.6</v>
      </c>
    </row>
    <row r="8">
      <c r="A8" s="4">
        <v>2021.0</v>
      </c>
      <c r="B8" s="4">
        <v>130.3</v>
      </c>
      <c r="C8" s="4">
        <v>117.1</v>
      </c>
      <c r="D8" s="4">
        <v>113.7</v>
      </c>
      <c r="E8" s="4">
        <v>89.4</v>
      </c>
      <c r="F8" s="4">
        <v>110.2</v>
      </c>
      <c r="G8" s="4">
        <v>116.6</v>
      </c>
      <c r="H8" s="4">
        <v>118.1</v>
      </c>
      <c r="I8" s="4">
        <v>114.2</v>
      </c>
      <c r="J8" s="4">
        <v>119.3</v>
      </c>
      <c r="K8" s="4">
        <v>126.7</v>
      </c>
      <c r="L8" s="4">
        <v>109.6</v>
      </c>
      <c r="M8" s="4">
        <v>114.5</v>
      </c>
      <c r="N8" s="4">
        <v>120.6</v>
      </c>
      <c r="O8" s="4">
        <v>116.0</v>
      </c>
    </row>
    <row r="9">
      <c r="A9" s="4">
        <v>2022.0</v>
      </c>
      <c r="B9" s="4">
        <v>138.5</v>
      </c>
      <c r="C9" s="4">
        <v>139.2</v>
      </c>
      <c r="D9" s="4">
        <v>134.0</v>
      </c>
      <c r="E9" s="4">
        <v>91.8</v>
      </c>
      <c r="F9" s="4">
        <v>130.7</v>
      </c>
      <c r="G9" s="4">
        <v>130.7</v>
      </c>
      <c r="H9" s="4">
        <v>124.5</v>
      </c>
      <c r="I9" s="4">
        <v>133.3</v>
      </c>
      <c r="J9" s="4">
        <v>135.5</v>
      </c>
      <c r="K9" s="4">
        <v>153.5</v>
      </c>
      <c r="L9" s="4">
        <v>122.6</v>
      </c>
      <c r="M9" s="4">
        <v>118.8</v>
      </c>
      <c r="N9" s="4">
        <v>130.8</v>
      </c>
      <c r="O9" s="4">
        <v>133.5</v>
      </c>
    </row>
    <row r="10">
      <c r="A10" s="4">
        <v>2023.0</v>
      </c>
      <c r="B10" s="4">
        <v>147.6</v>
      </c>
      <c r="C10" s="4">
        <v>162.5</v>
      </c>
      <c r="D10" s="4">
        <v>132.9</v>
      </c>
      <c r="E10" s="4">
        <v>94.8</v>
      </c>
      <c r="F10" s="4">
        <v>145.1</v>
      </c>
      <c r="G10" s="4">
        <v>145.9</v>
      </c>
      <c r="H10" s="4">
        <v>128.8</v>
      </c>
      <c r="I10" s="4">
        <v>148.8</v>
      </c>
      <c r="J10" s="4">
        <v>153.1</v>
      </c>
      <c r="K10" s="4">
        <v>175.4</v>
      </c>
      <c r="L10" s="4">
        <v>132.0</v>
      </c>
      <c r="M10" s="4">
        <v>127.1</v>
      </c>
      <c r="N10" s="4">
        <v>142.3</v>
      </c>
      <c r="O10" s="4">
        <v>147.8</v>
      </c>
    </row>
    <row r="11">
      <c r="A11" s="4">
        <v>2024.0</v>
      </c>
      <c r="B11" s="4">
        <v>155.2</v>
      </c>
      <c r="C11" s="4">
        <v>168.3</v>
      </c>
      <c r="D11" s="4">
        <v>135.3</v>
      </c>
      <c r="E11" s="4">
        <v>96.7</v>
      </c>
      <c r="F11" s="4">
        <v>148.8</v>
      </c>
      <c r="G11" s="4">
        <v>150.2</v>
      </c>
      <c r="H11" s="4">
        <v>134.6</v>
      </c>
      <c r="I11" s="4">
        <v>145.3</v>
      </c>
      <c r="J11" s="4">
        <v>159.8</v>
      </c>
      <c r="K11" s="4">
        <v>188.7</v>
      </c>
      <c r="L11" s="4">
        <v>132.7</v>
      </c>
      <c r="M11" s="4">
        <v>137.5</v>
      </c>
      <c r="N11" s="4">
        <v>148.3</v>
      </c>
      <c r="O11" s="4">
        <v>151.3</v>
      </c>
    </row>
    <row r="12">
      <c r="A12" s="4">
        <v>2025.0</v>
      </c>
      <c r="B12" s="4">
        <v>161.3</v>
      </c>
      <c r="C12" s="4">
        <v>171.2</v>
      </c>
      <c r="D12" s="4">
        <v>134.2</v>
      </c>
      <c r="E12" s="4">
        <v>98.5</v>
      </c>
      <c r="F12" s="4">
        <v>146.0</v>
      </c>
      <c r="G12" s="4">
        <v>154.1</v>
      </c>
      <c r="H12" s="4">
        <v>141.0</v>
      </c>
      <c r="I12" s="4">
        <v>151.5</v>
      </c>
      <c r="J12" s="4">
        <v>165.3</v>
      </c>
      <c r="K12" s="4">
        <v>198.0</v>
      </c>
      <c r="L12" s="4">
        <v>134.6</v>
      </c>
      <c r="M12" s="4">
        <v>149.5</v>
      </c>
      <c r="N12" s="4">
        <v>153.4</v>
      </c>
      <c r="O12" s="4">
        <v>155.0</v>
      </c>
    </row>
    <row r="14">
      <c r="A14" s="6" t="s">
        <v>15</v>
      </c>
      <c r="B14" s="5">
        <f t="shared" ref="B14:O14" si="1">(B12 - B2) / B2</f>
        <v>0.613</v>
      </c>
      <c r="C14" s="5">
        <f t="shared" si="1"/>
        <v>0.712</v>
      </c>
      <c r="D14" s="5">
        <f t="shared" si="1"/>
        <v>0.342</v>
      </c>
      <c r="E14" s="5">
        <f t="shared" si="1"/>
        <v>-0.015</v>
      </c>
      <c r="F14" s="5">
        <f t="shared" si="1"/>
        <v>0.46</v>
      </c>
      <c r="G14" s="5">
        <f t="shared" si="1"/>
        <v>0.541</v>
      </c>
      <c r="H14" s="5">
        <f t="shared" si="1"/>
        <v>0.41</v>
      </c>
      <c r="I14" s="5">
        <f t="shared" si="1"/>
        <v>0.515</v>
      </c>
      <c r="J14" s="5">
        <f t="shared" si="1"/>
        <v>0.653</v>
      </c>
      <c r="K14" s="5">
        <f t="shared" si="1"/>
        <v>0.98</v>
      </c>
      <c r="L14" s="5">
        <f t="shared" si="1"/>
        <v>0.346</v>
      </c>
      <c r="M14" s="5">
        <f t="shared" si="1"/>
        <v>0.495</v>
      </c>
      <c r="N14" s="5">
        <f t="shared" si="1"/>
        <v>0.534</v>
      </c>
      <c r="O14" s="5">
        <f t="shared" si="1"/>
        <v>0.55</v>
      </c>
    </row>
    <row r="16">
      <c r="H16" s="6" t="s">
        <v>16</v>
      </c>
      <c r="I16" s="7">
        <f t="array" ref="I16">TREND(I2:I11, A2:A11, 2025)</f>
        <v>148.32</v>
      </c>
    </row>
    <row r="17">
      <c r="D17" s="8" t="s">
        <v>17</v>
      </c>
      <c r="H17" s="6" t="s">
        <v>18</v>
      </c>
      <c r="I17" s="7">
        <f t="array" ref="I17">TREND(I2:I11, A2:A11, 2026)</f>
        <v>153.9727273</v>
      </c>
    </row>
    <row r="18">
      <c r="H18" s="6" t="s">
        <v>19</v>
      </c>
      <c r="I18" s="7">
        <f>I12</f>
        <v>151.5</v>
      </c>
    </row>
    <row r="19">
      <c r="H19" s="6" t="s">
        <v>20</v>
      </c>
      <c r="I19" s="9">
        <f>I16 - I18</f>
        <v>-3.18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7:G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>
        <v>2016.0</v>
      </c>
      <c r="B2" s="5">
        <f>(Indexy_2015_100!B3 - Indexy_2015_100!B2) / Indexy_2015_100!B2</f>
        <v>0.044</v>
      </c>
      <c r="C2" s="5">
        <f>(Indexy_2015_100!C3 - Indexy_2015_100!C2) / Indexy_2015_100!C2</f>
        <v>0.005</v>
      </c>
      <c r="D2" s="5">
        <f>(Indexy_2015_100!D3 - Indexy_2015_100!D2) / Indexy_2015_100!D2</f>
        <v>-0.016</v>
      </c>
      <c r="E2" s="5">
        <f>(Indexy_2015_100!E3 - Indexy_2015_100!E2) / Indexy_2015_100!E2</f>
        <v>-0.01</v>
      </c>
      <c r="F2" s="5">
        <f>(Indexy_2015_100!F3 - Indexy_2015_100!F2) / Indexy_2015_100!F2</f>
        <v>0.019</v>
      </c>
      <c r="G2" s="5">
        <f>(Indexy_2015_100!G3 - Indexy_2015_100!G2) / Indexy_2015_100!G2</f>
        <v>0.008</v>
      </c>
      <c r="H2" s="5">
        <f>(Indexy_2015_100!H3 - Indexy_2015_100!H2) / Indexy_2015_100!H2</f>
        <v>0.018</v>
      </c>
      <c r="I2" s="5">
        <f>(Indexy_2015_100!I3 - Indexy_2015_100!I2) / Indexy_2015_100!I2</f>
        <v>-0.009</v>
      </c>
      <c r="J2" s="5">
        <f>(Indexy_2015_100!J3 - Indexy_2015_100!J2) / Indexy_2015_100!J2</f>
        <v>0.025</v>
      </c>
      <c r="K2" s="5">
        <f>(Indexy_2015_100!K3 - Indexy_2015_100!K2) / Indexy_2015_100!K2</f>
        <v>0.016</v>
      </c>
      <c r="L2" s="5">
        <f>(Indexy_2015_100!L3 - Indexy_2015_100!L2) / Indexy_2015_100!L2</f>
        <v>-0.003</v>
      </c>
      <c r="M2" s="5">
        <f>(Indexy_2015_100!M3 - Indexy_2015_100!M2) / Indexy_2015_100!M2</f>
        <v>0.013</v>
      </c>
      <c r="N2" s="5">
        <f>(Indexy_2015_100!N3 - Indexy_2015_100!N2) / Indexy_2015_100!N2</f>
        <v>0.026</v>
      </c>
      <c r="O2" s="5">
        <f>(Indexy_2015_100!O3 - Indexy_2015_100!O2) / Indexy_2015_100!O2</f>
        <v>0.006</v>
      </c>
    </row>
    <row r="3">
      <c r="A3" s="4">
        <v>2017.0</v>
      </c>
      <c r="B3" s="5">
        <f>(Indexy_2015_100!B4 - Indexy_2015_100!B3) / Indexy_2015_100!B3</f>
        <v>0.0162835249</v>
      </c>
      <c r="C3" s="5">
        <f>(Indexy_2015_100!C4 - Indexy_2015_100!C3) / Indexy_2015_100!C3</f>
        <v>0.01691542289</v>
      </c>
      <c r="D3" s="5">
        <f>(Indexy_2015_100!D4 - Indexy_2015_100!D3) / Indexy_2015_100!D3</f>
        <v>0.03658536585</v>
      </c>
      <c r="E3" s="5">
        <f>(Indexy_2015_100!E4 - Indexy_2015_100!E3) / Indexy_2015_100!E3</f>
        <v>-0.01717171717</v>
      </c>
      <c r="F3" s="5">
        <f>(Indexy_2015_100!F4 - Indexy_2015_100!F3) / Indexy_2015_100!F3</f>
        <v>0.002944062807</v>
      </c>
      <c r="G3" s="5">
        <f>(Indexy_2015_100!G4 - Indexy_2015_100!G3) / Indexy_2015_100!G3</f>
        <v>0.01984126984</v>
      </c>
      <c r="H3" s="5">
        <f>(Indexy_2015_100!H4 - Indexy_2015_100!H3) / Indexy_2015_100!H3</f>
        <v>-0.007858546169</v>
      </c>
      <c r="I3" s="5">
        <f>(Indexy_2015_100!I4 - Indexy_2015_100!I3) / Indexy_2015_100!I3</f>
        <v>0.05045408678</v>
      </c>
      <c r="J3" s="5">
        <f>(Indexy_2015_100!J4 - Indexy_2015_100!J3) / Indexy_2015_100!J3</f>
        <v>0.02243902439</v>
      </c>
      <c r="K3" s="5">
        <f>(Indexy_2015_100!K4 - Indexy_2015_100!K3) / Indexy_2015_100!K3</f>
        <v>0.0561023622</v>
      </c>
      <c r="L3" s="5">
        <f>(Indexy_2015_100!L4 - Indexy_2015_100!L3) / Indexy_2015_100!L3</f>
        <v>-0.001003009027</v>
      </c>
      <c r="M3" s="5">
        <f>(Indexy_2015_100!M4 - Indexy_2015_100!M3) / Indexy_2015_100!M3</f>
        <v>0.01974333662</v>
      </c>
      <c r="N3" s="5">
        <f>(Indexy_2015_100!N4 - Indexy_2015_100!N3) / Indexy_2015_100!N3</f>
        <v>0.03703703704</v>
      </c>
      <c r="O3" s="5">
        <f>(Indexy_2015_100!O4 - Indexy_2015_100!O3) / Indexy_2015_100!O3</f>
        <v>0.02485089463</v>
      </c>
    </row>
    <row r="4">
      <c r="A4" s="4">
        <v>2018.0</v>
      </c>
      <c r="B4" s="5">
        <f>(Indexy_2015_100!B5 - Indexy_2015_100!B4) / Indexy_2015_100!B4</f>
        <v>0.03110273327</v>
      </c>
      <c r="C4" s="5">
        <f>(Indexy_2015_100!C5 - Indexy_2015_100!C4) / Indexy_2015_100!C4</f>
        <v>0.02837573386</v>
      </c>
      <c r="D4" s="5">
        <f>(Indexy_2015_100!D5 - Indexy_2015_100!D4) / Indexy_2015_100!D4</f>
        <v>0.02745098039</v>
      </c>
      <c r="E4" s="5">
        <f>(Indexy_2015_100!E5 - Indexy_2015_100!E4) / Indexy_2015_100!E4</f>
        <v>-0.02672147996</v>
      </c>
      <c r="F4" s="5">
        <f>(Indexy_2015_100!F5 - Indexy_2015_100!F4) / Indexy_2015_100!F4</f>
        <v>-0.01174168297</v>
      </c>
      <c r="G4" s="5">
        <f>(Indexy_2015_100!G5 - Indexy_2015_100!G4) / Indexy_2015_100!G4</f>
        <v>0.03015564202</v>
      </c>
      <c r="H4" s="5">
        <f>(Indexy_2015_100!H5 - Indexy_2015_100!H4) / Indexy_2015_100!H4</f>
        <v>0.02475247525</v>
      </c>
      <c r="I4" s="5">
        <f>(Indexy_2015_100!I5 - Indexy_2015_100!I4) / Indexy_2015_100!I4</f>
        <v>0.01344860711</v>
      </c>
      <c r="J4" s="5">
        <f>(Indexy_2015_100!J5 - Indexy_2015_100!J4) / Indexy_2015_100!J4</f>
        <v>0.02671755725</v>
      </c>
      <c r="K4" s="5">
        <f>(Indexy_2015_100!K5 - Indexy_2015_100!K4) / Indexy_2015_100!K4</f>
        <v>0.03541472507</v>
      </c>
      <c r="L4" s="5">
        <f>(Indexy_2015_100!L5 - Indexy_2015_100!L4) / Indexy_2015_100!L4</f>
        <v>0.01506024096</v>
      </c>
      <c r="M4" s="5">
        <f>(Indexy_2015_100!M5 - Indexy_2015_100!M4) / Indexy_2015_100!M4</f>
        <v>0.0174249758</v>
      </c>
      <c r="N4" s="5">
        <f>(Indexy_2015_100!N5 - Indexy_2015_100!N4) / Indexy_2015_100!N4</f>
        <v>0.03759398496</v>
      </c>
      <c r="O4" s="5">
        <f>(Indexy_2015_100!O5 - Indexy_2015_100!O4) / Indexy_2015_100!O4</f>
        <v>0.0213385063</v>
      </c>
    </row>
    <row r="5">
      <c r="A5" s="4">
        <v>2019.0</v>
      </c>
      <c r="B5" s="5">
        <f>(Indexy_2015_100!B6 - Indexy_2015_100!B5) / Indexy_2015_100!B5</f>
        <v>0.02193784278</v>
      </c>
      <c r="C5" s="5">
        <f>(Indexy_2015_100!C6 - Indexy_2015_100!C5) / Indexy_2015_100!C5</f>
        <v>0.0542340628</v>
      </c>
      <c r="D5" s="5">
        <f>(Indexy_2015_100!D6 - Indexy_2015_100!D5) / Indexy_2015_100!D5</f>
        <v>0.00572519084</v>
      </c>
      <c r="E5" s="5">
        <f>(Indexy_2015_100!E6 - Indexy_2015_100!E5) / Indexy_2015_100!E5</f>
        <v>-0.02745512144</v>
      </c>
      <c r="F5" s="5">
        <f>(Indexy_2015_100!F6 - Indexy_2015_100!F5) / Indexy_2015_100!F5</f>
        <v>-0.01089108911</v>
      </c>
      <c r="G5" s="5">
        <f>(Indexy_2015_100!G6 - Indexy_2015_100!G5) / Indexy_2015_100!G5</f>
        <v>0.03493862134</v>
      </c>
      <c r="H5" s="5">
        <f>(Indexy_2015_100!H6 - Indexy_2015_100!H5) / Indexy_2015_100!H5</f>
        <v>0.04927536232</v>
      </c>
      <c r="I5" s="5">
        <f>(Indexy_2015_100!I6 - Indexy_2015_100!I5) / Indexy_2015_100!I5</f>
        <v>0.02843601896</v>
      </c>
      <c r="J5" s="5">
        <f>(Indexy_2015_100!J6 - Indexy_2015_100!J5) / Indexy_2015_100!J5</f>
        <v>0.03252788104</v>
      </c>
      <c r="K5" s="5">
        <f>(Indexy_2015_100!K6 - Indexy_2015_100!K5) / Indexy_2015_100!K5</f>
        <v>0.04230423042</v>
      </c>
      <c r="L5" s="5">
        <f>(Indexy_2015_100!L6 - Indexy_2015_100!L5) / Indexy_2015_100!L5</f>
        <v>0.01582591494</v>
      </c>
      <c r="M5" s="5">
        <f>(Indexy_2015_100!M6 - Indexy_2015_100!M5) / Indexy_2015_100!M5</f>
        <v>0.02664129401</v>
      </c>
      <c r="N5" s="5">
        <f>(Indexy_2015_100!N6 - Indexy_2015_100!N5) / Indexy_2015_100!N5</f>
        <v>0.03079710145</v>
      </c>
      <c r="O5" s="5">
        <f>(Indexy_2015_100!O6 - Indexy_2015_100!O5) / Indexy_2015_100!O5</f>
        <v>0.02754036087</v>
      </c>
    </row>
    <row r="6">
      <c r="A6" s="4">
        <v>2020.0</v>
      </c>
      <c r="B6" s="5">
        <f>(Indexy_2015_100!B7 - Indexy_2015_100!B6) / Indexy_2015_100!B6</f>
        <v>0.07513416816</v>
      </c>
      <c r="C6" s="5">
        <f>(Indexy_2015_100!C7 - Indexy_2015_100!C6) / Indexy_2015_100!C6</f>
        <v>0.02888086643</v>
      </c>
      <c r="D6" s="5">
        <f>(Indexy_2015_100!D7 - Indexy_2015_100!D6) / Indexy_2015_100!D6</f>
        <v>-0.003795066414</v>
      </c>
      <c r="E6" s="5">
        <f>(Indexy_2015_100!E7 - Indexy_2015_100!E6) / Indexy_2015_100!E6</f>
        <v>-0.02931596091</v>
      </c>
      <c r="F6" s="5">
        <f>(Indexy_2015_100!F7 - Indexy_2015_100!F6) / Indexy_2015_100!F6</f>
        <v>0.03603603604</v>
      </c>
      <c r="G6" s="5">
        <f>(Indexy_2015_100!G7 - Indexy_2015_100!G6) / Indexy_2015_100!G6</f>
        <v>0.03740875912</v>
      </c>
      <c r="H6" s="5">
        <f>(Indexy_2015_100!H7 - Indexy_2015_100!H6) / Indexy_2015_100!H6</f>
        <v>0.02854511971</v>
      </c>
      <c r="I6" s="5">
        <f>(Indexy_2015_100!I7 - Indexy_2015_100!I6) / Indexy_2015_100!I6</f>
        <v>0.04608294931</v>
      </c>
      <c r="J6" s="5">
        <f>(Indexy_2015_100!J7 - Indexy_2015_100!J6) / Indexy_2015_100!J6</f>
        <v>0.03690369037</v>
      </c>
      <c r="K6" s="5">
        <f>(Indexy_2015_100!K7 - Indexy_2015_100!K6) / Indexy_2015_100!K6</f>
        <v>0.05008635579</v>
      </c>
      <c r="L6" s="5">
        <f>(Indexy_2015_100!L7 - Indexy_2015_100!L6) / Indexy_2015_100!L6</f>
        <v>0.02921129503</v>
      </c>
      <c r="M6" s="5">
        <f>(Indexy_2015_100!M7 - Indexy_2015_100!M6) / Indexy_2015_100!M6</f>
        <v>0.03799814643</v>
      </c>
      <c r="N6" s="5">
        <f>(Indexy_2015_100!N7 - Indexy_2015_100!N6) / Indexy_2015_100!N6</f>
        <v>0.02460456942</v>
      </c>
      <c r="O6" s="5">
        <f>(Indexy_2015_100!O7 - Indexy_2015_100!O6) / Indexy_2015_100!O6</f>
        <v>0.0314232902</v>
      </c>
    </row>
    <row r="7">
      <c r="A7" s="4">
        <v>2021.0</v>
      </c>
      <c r="B7" s="5">
        <f>(Indexy_2015_100!B8 - Indexy_2015_100!B7) / Indexy_2015_100!B7</f>
        <v>0.0840266223</v>
      </c>
      <c r="C7" s="5">
        <f>(Indexy_2015_100!C8 - Indexy_2015_100!C7) / Indexy_2015_100!C7</f>
        <v>0.02719298246</v>
      </c>
      <c r="D7" s="5">
        <f>(Indexy_2015_100!D8 - Indexy_2015_100!D7) / Indexy_2015_100!D7</f>
        <v>0.08285714286</v>
      </c>
      <c r="E7" s="5">
        <f>(Indexy_2015_100!E8 - Indexy_2015_100!E7) / Indexy_2015_100!E7</f>
        <v>0</v>
      </c>
      <c r="F7" s="5">
        <f>(Indexy_2015_100!F8 - Indexy_2015_100!F7) / Indexy_2015_100!F7</f>
        <v>0.06473429952</v>
      </c>
      <c r="G7" s="5">
        <f>(Indexy_2015_100!G8 - Indexy_2015_100!G7) / Indexy_2015_100!G7</f>
        <v>0.0255057168</v>
      </c>
      <c r="H7" s="5">
        <f>(Indexy_2015_100!H8 - Indexy_2015_100!H7) / Indexy_2015_100!H7</f>
        <v>0.05729632945</v>
      </c>
      <c r="I7" s="5">
        <f>(Indexy_2015_100!I8 - Indexy_2015_100!I7) / Indexy_2015_100!I7</f>
        <v>0.006167400881</v>
      </c>
      <c r="J7" s="5">
        <f>(Indexy_2015_100!J8 - Indexy_2015_100!J7) / Indexy_2015_100!J7</f>
        <v>0.03559027778</v>
      </c>
      <c r="K7" s="5">
        <f>(Indexy_2015_100!K8 - Indexy_2015_100!K7) / Indexy_2015_100!K7</f>
        <v>0.04194078947</v>
      </c>
      <c r="L7" s="5">
        <f>(Indexy_2015_100!L8 - Indexy_2015_100!L7) / Indexy_2015_100!L7</f>
        <v>0.03689687796</v>
      </c>
      <c r="M7" s="5">
        <f>(Indexy_2015_100!M8 - Indexy_2015_100!M7) / Indexy_2015_100!M7</f>
        <v>0.02232142857</v>
      </c>
      <c r="N7" s="5">
        <f>(Indexy_2015_100!N8 - Indexy_2015_100!N7) / Indexy_2015_100!N7</f>
        <v>0.03430531732</v>
      </c>
      <c r="O7" s="5">
        <f>(Indexy_2015_100!O8 - Indexy_2015_100!O7) / Indexy_2015_100!O7</f>
        <v>0.0394265233</v>
      </c>
    </row>
    <row r="8">
      <c r="A8" s="4">
        <v>2022.0</v>
      </c>
      <c r="B8" s="5">
        <f>(Indexy_2015_100!B9 - Indexy_2015_100!B8) / Indexy_2015_100!B8</f>
        <v>0.06293169609</v>
      </c>
      <c r="C8" s="5">
        <f>(Indexy_2015_100!C9 - Indexy_2015_100!C8) / Indexy_2015_100!C8</f>
        <v>0.1887275833</v>
      </c>
      <c r="D8" s="5">
        <f>(Indexy_2015_100!D9 - Indexy_2015_100!D8) / Indexy_2015_100!D8</f>
        <v>0.1785400176</v>
      </c>
      <c r="E8" s="5">
        <f>(Indexy_2015_100!E9 - Indexy_2015_100!E8) / Indexy_2015_100!E8</f>
        <v>0.02684563758</v>
      </c>
      <c r="F8" s="5">
        <f>(Indexy_2015_100!F9 - Indexy_2015_100!F8) / Indexy_2015_100!F8</f>
        <v>0.1860254083</v>
      </c>
      <c r="G8" s="5">
        <f>(Indexy_2015_100!G9 - Indexy_2015_100!G8) / Indexy_2015_100!G8</f>
        <v>0.1209262436</v>
      </c>
      <c r="H8" s="5">
        <f>(Indexy_2015_100!H9 - Indexy_2015_100!H8) / Indexy_2015_100!H8</f>
        <v>0.05419136325</v>
      </c>
      <c r="I8" s="5">
        <f>(Indexy_2015_100!I9 - Indexy_2015_100!I8) / Indexy_2015_100!I8</f>
        <v>0.1672504378</v>
      </c>
      <c r="J8" s="5">
        <f>(Indexy_2015_100!J9 - Indexy_2015_100!J8) / Indexy_2015_100!J8</f>
        <v>0.1357921207</v>
      </c>
      <c r="K8" s="5">
        <f>(Indexy_2015_100!K9 - Indexy_2015_100!K8) / Indexy_2015_100!K8</f>
        <v>0.2115232833</v>
      </c>
      <c r="L8" s="5">
        <f>(Indexy_2015_100!L9 - Indexy_2015_100!L8) / Indexy_2015_100!L8</f>
        <v>0.1186131387</v>
      </c>
      <c r="M8" s="5">
        <f>(Indexy_2015_100!M9 - Indexy_2015_100!M8) / Indexy_2015_100!M8</f>
        <v>0.03755458515</v>
      </c>
      <c r="N8" s="5">
        <f>(Indexy_2015_100!N9 - Indexy_2015_100!N8) / Indexy_2015_100!N8</f>
        <v>0.08457711443</v>
      </c>
      <c r="O8" s="5">
        <f>(Indexy_2015_100!O9 - Indexy_2015_100!O8) / Indexy_2015_100!O8</f>
        <v>0.150862069</v>
      </c>
    </row>
    <row r="9">
      <c r="A9" s="4">
        <v>2023.0</v>
      </c>
      <c r="B9" s="5">
        <f>(Indexy_2015_100!B10 - Indexy_2015_100!B9) / Indexy_2015_100!B9</f>
        <v>0.06570397112</v>
      </c>
      <c r="C9" s="5">
        <f>(Indexy_2015_100!C10 - Indexy_2015_100!C9) / Indexy_2015_100!C9</f>
        <v>0.1673850575</v>
      </c>
      <c r="D9" s="5">
        <f>(Indexy_2015_100!D10 - Indexy_2015_100!D9) / Indexy_2015_100!D9</f>
        <v>-0.008208955224</v>
      </c>
      <c r="E9" s="5">
        <f>(Indexy_2015_100!E10 - Indexy_2015_100!E9) / Indexy_2015_100!E9</f>
        <v>0.03267973856</v>
      </c>
      <c r="F9" s="5">
        <f>(Indexy_2015_100!F10 - Indexy_2015_100!F9) / Indexy_2015_100!F9</f>
        <v>0.1101759755</v>
      </c>
      <c r="G9" s="5">
        <f>(Indexy_2015_100!G10 - Indexy_2015_100!G9) / Indexy_2015_100!G9</f>
        <v>0.116296863</v>
      </c>
      <c r="H9" s="5">
        <f>(Indexy_2015_100!H10 - Indexy_2015_100!H9) / Indexy_2015_100!H9</f>
        <v>0.03453815261</v>
      </c>
      <c r="I9" s="5">
        <f>(Indexy_2015_100!I10 - Indexy_2015_100!I9) / Indexy_2015_100!I9</f>
        <v>0.1162790698</v>
      </c>
      <c r="J9" s="5">
        <f>(Indexy_2015_100!J10 - Indexy_2015_100!J9) / Indexy_2015_100!J9</f>
        <v>0.1298892989</v>
      </c>
      <c r="K9" s="5">
        <f>(Indexy_2015_100!K10 - Indexy_2015_100!K9) / Indexy_2015_100!K9</f>
        <v>0.1426710098</v>
      </c>
      <c r="L9" s="5">
        <f>(Indexy_2015_100!L10 - Indexy_2015_100!L9) / Indexy_2015_100!L9</f>
        <v>0.0766721044</v>
      </c>
      <c r="M9" s="5">
        <f>(Indexy_2015_100!M10 - Indexy_2015_100!M9) / Indexy_2015_100!M9</f>
        <v>0.06986531987</v>
      </c>
      <c r="N9" s="5">
        <f>(Indexy_2015_100!N10 - Indexy_2015_100!N9) / Indexy_2015_100!N9</f>
        <v>0.0879204893</v>
      </c>
      <c r="O9" s="5">
        <f>(Indexy_2015_100!O10 - Indexy_2015_100!O9) / Indexy_2015_100!O9</f>
        <v>0.1071161049</v>
      </c>
    </row>
    <row r="10">
      <c r="A10" s="4">
        <v>2024.0</v>
      </c>
      <c r="B10" s="5">
        <f>(Indexy_2015_100!B11 - Indexy_2015_100!B10) / Indexy_2015_100!B10</f>
        <v>0.05149051491</v>
      </c>
      <c r="C10" s="5">
        <f>(Indexy_2015_100!C11 - Indexy_2015_100!C10) / Indexy_2015_100!C10</f>
        <v>0.03569230769</v>
      </c>
      <c r="D10" s="5">
        <f>(Indexy_2015_100!D11 - Indexy_2015_100!D10) / Indexy_2015_100!D10</f>
        <v>0.01805869074</v>
      </c>
      <c r="E10" s="5">
        <f>(Indexy_2015_100!E11 - Indexy_2015_100!E10) / Indexy_2015_100!E10</f>
        <v>0.02004219409</v>
      </c>
      <c r="F10" s="5">
        <f>(Indexy_2015_100!F11 - Indexy_2015_100!F10) / Indexy_2015_100!F10</f>
        <v>0.02549965541</v>
      </c>
      <c r="G10" s="5">
        <f>(Indexy_2015_100!G11 - Indexy_2015_100!G10) / Indexy_2015_100!G10</f>
        <v>0.02947224126</v>
      </c>
      <c r="H10" s="5">
        <f>(Indexy_2015_100!H11 - Indexy_2015_100!H10) / Indexy_2015_100!H10</f>
        <v>0.0450310559</v>
      </c>
      <c r="I10" s="5">
        <f>(Indexy_2015_100!I11 - Indexy_2015_100!I10) / Indexy_2015_100!I10</f>
        <v>-0.02352150538</v>
      </c>
      <c r="J10" s="5">
        <f>(Indexy_2015_100!J11 - Indexy_2015_100!J10) / Indexy_2015_100!J10</f>
        <v>0.0437622469</v>
      </c>
      <c r="K10" s="5">
        <f>(Indexy_2015_100!K11 - Indexy_2015_100!K10) / Indexy_2015_100!K10</f>
        <v>0.07582668187</v>
      </c>
      <c r="L10" s="5">
        <f>(Indexy_2015_100!L11 - Indexy_2015_100!L10) / Indexy_2015_100!L10</f>
        <v>0.005303030303</v>
      </c>
      <c r="M10" s="5">
        <f>(Indexy_2015_100!M11 - Indexy_2015_100!M10) / Indexy_2015_100!M10</f>
        <v>0.08182533438</v>
      </c>
      <c r="N10" s="5">
        <f>(Indexy_2015_100!N11 - Indexy_2015_100!N10) / Indexy_2015_100!N10</f>
        <v>0.04216444132</v>
      </c>
      <c r="O10" s="5">
        <f>(Indexy_2015_100!O11 - Indexy_2015_100!O10) / Indexy_2015_100!O10</f>
        <v>0.02368064953</v>
      </c>
    </row>
    <row r="11">
      <c r="A11" s="4">
        <v>2025.0</v>
      </c>
      <c r="B11" s="5">
        <f>(Indexy_2015_100!B12 - Indexy_2015_100!B11) / Indexy_2015_100!B11</f>
        <v>0.03930412371</v>
      </c>
      <c r="C11" s="5">
        <f>(Indexy_2015_100!C12 - Indexy_2015_100!C11) / Indexy_2015_100!C11</f>
        <v>0.01723113488</v>
      </c>
      <c r="D11" s="5">
        <f>(Indexy_2015_100!D12 - Indexy_2015_100!D11) / Indexy_2015_100!D11</f>
        <v>-0.008130081301</v>
      </c>
      <c r="E11" s="5">
        <f>(Indexy_2015_100!E12 - Indexy_2015_100!E11) / Indexy_2015_100!E11</f>
        <v>0.01861427094</v>
      </c>
      <c r="F11" s="5">
        <f>(Indexy_2015_100!F12 - Indexy_2015_100!F11) / Indexy_2015_100!F11</f>
        <v>-0.0188172043</v>
      </c>
      <c r="G11" s="5">
        <f>(Indexy_2015_100!G12 - Indexy_2015_100!G11) / Indexy_2015_100!G11</f>
        <v>0.02596537949</v>
      </c>
      <c r="H11" s="5">
        <f>(Indexy_2015_100!H12 - Indexy_2015_100!H11) / Indexy_2015_100!H11</f>
        <v>0.04754829123</v>
      </c>
      <c r="I11" s="5">
        <f>(Indexy_2015_100!I12 - Indexy_2015_100!I11) / Indexy_2015_100!I11</f>
        <v>0.04267033723</v>
      </c>
      <c r="J11" s="5">
        <f>(Indexy_2015_100!J12 - Indexy_2015_100!J11) / Indexy_2015_100!J11</f>
        <v>0.03441802253</v>
      </c>
      <c r="K11" s="5">
        <f>(Indexy_2015_100!K12 - Indexy_2015_100!K11) / Indexy_2015_100!K11</f>
        <v>0.0492845787</v>
      </c>
      <c r="L11" s="5">
        <f>(Indexy_2015_100!L12 - Indexy_2015_100!L11) / Indexy_2015_100!L11</f>
        <v>0.01431801055</v>
      </c>
      <c r="M11" s="5">
        <f>(Indexy_2015_100!M12 - Indexy_2015_100!M11) / Indexy_2015_100!M11</f>
        <v>0.08727272727</v>
      </c>
      <c r="N11" s="5">
        <f>(Indexy_2015_100!N12 - Indexy_2015_100!N11) / Indexy_2015_100!N11</f>
        <v>0.03438975051</v>
      </c>
      <c r="O11" s="5">
        <f>(Indexy_2015_100!O12 - Indexy_2015_100!O11) / Indexy_2015_100!O11</f>
        <v>0.02445472571</v>
      </c>
    </row>
    <row r="13">
      <c r="J13" s="10"/>
    </row>
    <row r="14">
      <c r="A14" s="6" t="s">
        <v>21</v>
      </c>
      <c r="D14" s="7">
        <f>CORREL(C2:C11, G2:G11)</f>
        <v>0.9906223008</v>
      </c>
    </row>
  </sheetData>
  <drawing r:id="rId1"/>
</worksheet>
</file>